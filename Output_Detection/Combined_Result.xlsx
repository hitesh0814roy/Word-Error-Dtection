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_Detection\"/>
    </mc:Choice>
  </mc:AlternateContent>
  <xr:revisionPtr revIDLastSave="0" documentId="13_ncr:1_{B98252F1-E528-4A20-9C97-231593785288}" xr6:coauthVersionLast="47" xr6:coauthVersionMax="47" xr10:uidLastSave="{00000000-0000-0000-0000-000000000000}"/>
  <bookViews>
    <workbookView xWindow="-108" yWindow="-108" windowWidth="23256" windowHeight="12456" xr2:uid="{00000000-000D-0000-FFFF-FFFF00000000}"/>
  </bookViews>
  <sheets>
    <sheet name="Summary" sheetId="6" r:id="rId1"/>
    <sheet name="BioClinicalBERT" sheetId="1" r:id="rId2"/>
    <sheet name="PubMedBERT" sheetId="2" r:id="rId3"/>
    <sheet name="Sheet1" sheetId="7" r:id="rId4"/>
    <sheet name="ClinicalBERT" sheetId="3" r:id="rId5"/>
    <sheet name="SapBERT" sheetId="4" r:id="rId6"/>
    <sheet name="FLAN-T5"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6" l="1"/>
  <c r="E9" i="6"/>
  <c r="F9" i="6"/>
  <c r="G9" i="6"/>
  <c r="C9" i="6"/>
</calcChain>
</file>

<file path=xl/sharedStrings.xml><?xml version="1.0" encoding="utf-8"?>
<sst xmlns="http://schemas.openxmlformats.org/spreadsheetml/2006/main" count="31" uniqueCount="22">
  <si>
    <t>Row</t>
  </si>
  <si>
    <t>combined_confidence</t>
  </si>
  <si>
    <t>BioClinicalBERT</t>
  </si>
  <si>
    <t>PubMedBERT</t>
  </si>
  <si>
    <t>ClinicalBERT</t>
  </si>
  <si>
    <t>SapBERT</t>
  </si>
  <si>
    <t>FLAN-T5</t>
  </si>
  <si>
    <t>Average_Confidence</t>
  </si>
  <si>
    <t>MEAN</t>
  </si>
  <si>
    <t>{"highlighted_text": "Pregnant female presents with &lt;&lt;diziness,&gt;&gt; lower &lt;&lt;abdmonal&gt;&gt; &lt;&lt;discomfort&gt;&gt; and occasional &lt;&lt;vomitting.&gt;&gt; Suggested beta hcg, &lt;&lt;thyriod&gt;&gt; &lt;&lt;profile&gt;&gt; and usg &lt;&lt;pelivs&gt;&gt; &lt;&lt;scan.&gt;&gt; Hb &lt;&lt;level&gt;&gt; appears low with &lt;&lt;possibel&gt;&gt; &lt;&lt;anemea.&gt;&gt; &lt;&lt;Please&gt;&gt; perform &lt;&lt;urin&gt;&gt; culture &lt;&lt;sensitivity&gt;&gt; and &lt;&lt;fetel&gt;&gt; &lt;&lt;anomaly&gt;&gt; &lt;&lt;scannning.&gt;&gt; Patient also advised iron &lt;&lt;suplimentation&gt;&gt; and &lt;&lt;folc&gt;&gt; &lt;&lt;acid&gt;&gt; &lt;&lt;tablets.&gt;&gt; Suspected &lt;&lt;gestonal&gt;&gt; &lt;&lt;diabetis&gt;&gt; and mild &lt;&lt;hypertention&gt;&gt; require &lt;&lt;furthur&gt;&gt; &lt;&lt;evalution.&gt;&gt;", "detected_words": [{"word": "diziness,", "start": 30, "end": 39, "detection_confidence": 0.999997}, {"word": "abdmonal", "start": 46, "end": 54, "detection_confidence": 0.999978}, {"word": "discomfort", "start": 55, "end": 65, "detection_confidence": 0.999983}, {"word": "vomitting.", "start": 81, "end": 91, "detection_confidence": 0.99999}, {"word": "thyriod", "start": 112, "end": 119, "detection_confidence": 0.999916}, {"word": "profile", "start": 120, "end": 127, "detection_confidence": 0.999766}, {"word": "pelivs", "start": 136, "end": 142, "detection_confidence": 0.999999}, {"word": "scan.", "start": 143, "end": 148, "detection_confidence": 0.999944}, {"word": "level", "start": 152, "end": 157, "detection_confidence": 0.99996}, {"word": "possibel", "start": 175, "end": 183, "detection_confidence": 0.999913}, {"word": "anemea.", "start": 184, "end": 191, "detection_confidence": 0.999999}, {"word": "Please", "start": 192, "end": 198, "detection_confidence": 0.999987}, {"word": "urin", "start": 207, "end": 211, "detection_confidence": 0.999795}, {"word": "sensitivity", "start": 220, "end": 231, "detection_confidence": 0.999999}, {"word": "fetel", "start": 236, "end": 241, "detection_confidence": 0.99999}, {"word": "anomaly", "start": 242, "end": 249, "detection_confidence": 0.999963}, {"word": "scannning.", "start": 250, "end": 260, "detection_confidence": 0.999999}, {"word": "suplimentation", "start": 287, "end": 301, "detection_confidence": 1.0}, {"word": "folc", "start": 306, "end": 310, "detection_confidence": 0.999977}, {"word": "acid", "start": 311, "end": 315, "detection_confidence": 0.999943}, {"word": "tablets.", "start": 316, "end": 324, "detection_confidence": 0.999998}, {"word": "gestonal", "start": 335, "end": 343, "detection_confidence": 0.999976}, {"word": "diabetis", "start": 344, "end": 352, "detection_confidence": 0.999958}, {"word": "hypertention", "start": 362, "end": 374, "detection_confidence": 0.999998}, {"word": "furthur", "start": 383, "end": 390, "detection_confidence": 0.999997}, {"word": "evalution.", "start": 391, "end": 401, "detection_confidence": 0.999899}], "combined_confidence": 0.999959}</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</si>
  <si>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</si>
  <si>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"Patient reports chest &lt;&lt;tigtness,&gt;&gt; dry caugh and &lt;&lt;intermttent&gt;&gt; breathlessness after &lt;&lt;mild&gt;&gt; &lt;&lt;excercise.&gt;&gt; &lt;&lt;Advise&gt;&gt; &lt;&lt;xray&gt;&gt; chest pa &lt;&lt;view,&gt;&gt; &lt;&lt;pulmnory&gt;&gt; function tst and tropnin &lt;&lt;levels.&gt;&gt; &lt;&lt;Nebuliztion&gt;&gt; with &lt;&lt;budecort&gt;&gt; was started. There is &lt;&lt;suspicion&gt;&gt; of &lt;&lt;pneomonia&gt;&gt; and early &lt;&lt;bronkitis.&gt;&gt; &lt;&lt;Recomended&gt;&gt; &lt;&lt;warm&gt;&gt; &lt;&lt;saline&gt;&gt; &lt;&lt;gargels&gt;&gt; and oxygen satuation monitoring every 6 hours. Cardic enzyme &lt;&lt;profile&gt;&gt; and &lt;&lt;echocardiogrm&gt;&gt; should be repeated &lt;&lt;tomorow.&gt;&gt;", "detected_words": [{"word": "tigtness,", "start": 22, "end": 31, "detection_confidence": 0.999985}, {"word": "intermttent", "start": 46, "end": 57, "detection_confidence": 0.999998}, {"word": "mild", "start": 79, "end": 83, "detection_confidence": 0.999666}, {"word": "excercise.", "start": 84, "end": 94, "detection_confidence": 0.999978}, {"word": "Advise", "start": 95, "end": 101, "detection_confidence": 0.999999}, {"word": "xray", "start": 102, "end": 106, "detection_confidence": 0.999984}, {"word": "view,", "start": 116, "end": 121, "detection_confidence": 0.999901}, {"word": "pulmnory", "start": 122, "end": 130, "detection_confidence": 0.999971}, {"word": "levels.", "start": 156, "end": 163, "detection_confidence": 0.999965}, {"word": "Nebuliztion", "start": 164, "end": 175, "detection_confidence": 0.999991}, {"word": "budecort", "start": 181, "end": 189, "detection_confidence": 0.999999}, {"word": "suspicion", "start": 212, "end": 221, "detection_confidence": 0.999998}, {"word": "pneomonia", "start": 225, "end": 234, "detection_confidence": 0.999852}, {"word": "bronkitis.", "start": 245, "end": 255, "detection_confidence": 0.999993}, {"word": "Recomended", "start": 256, "end": 266, "detection_confidence": 0.999989}, {"word": "warm", "start": 267, "end": 271, "detection_confidence": 0.999968}, {"word": "saline", "start": 272, "end": 278, "detection_confidence": 0.999992}, {"word": "gargels", "start": 279, "end": 286, "detection_confidence": 1.0}, {"word": "profile", "start": 348, "end": 355, "detection_confidence": 0.999657}, {"word": "echocardiogrm", "start": 360, "end": 373, "detection_confidence": 0.999892}, {"word": "tomorow.", "start": 393, "end": 401, "detection_confidence": 0.999376}], "combined_confidence": 0.999912}</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</si>
  <si>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</si>
  <si>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"The patient &lt;&lt;complains&gt;&gt; of severe &lt;&lt;hedache,&gt;&gt; body pain and &lt;&lt;episodic&gt;&gt; &lt;&lt;feever&gt;&gt; for the last 3 days. I suspect &lt;&lt;typoid&gt;&gt; or early &lt;&lt;malaria.&gt;&gt; &lt;&lt;Please&gt;&gt; &lt;&lt;advise&gt;&gt; lft, kft and &lt;&lt;platlet&gt;&gt; count. Start oral &lt;&lt;rehydation&gt;&gt; and &lt;&lt;steam&gt;&gt; &lt;&lt;inhaltion&gt;&gt; twice daily. The patient was also advised for &lt;&lt;dengu&gt;&gt; NS1 &lt;&lt;antigen&gt;&gt; test and 12 hours &lt;&lt;urin&gt;&gt; protein &lt;&lt;analysis.&gt;&gt; ECG &lt;&lt;appeers&gt;&gt; mildly &lt;&lt;abnormal&gt;&gt; with &lt;&lt;possibel&gt;&gt; &lt;&lt;tachycardya.&gt;&gt;", "detected_words": [{"word": "complains", "start": 12, "end": 21, "detection_confidence": 0.999635}, {"word": "hedache,", "start": 32, "end": 40, "detection_confidence": 1.0}, {"word": "episodic", "start": 55, "end": 63, "detection_confidence": 0.999987}, {"word": "feever", "start": 64, "end": 70, "detection_confidence": 0.999999}, {"word": "typoid", "start": 102, "end": 108, "detection_confidence": 0.999998}, {"word": "malaria.", "start": 118, "end": 126, "detection_confidence": 0.999849}, {"word": "Please", "start": 127, "end": 133, "detection_confidence": 0.99949}, {"word": "advise", "start": 134, "end": 140, "detection_confidence": 0.999995}, {"word": "platlet", "start": 154, "end": 161, "detection_confidence": 0.999743}, {"word": "rehydation", "start": 180, "end": 190, "detection_confidence": 0.999991}, {"word": "steam", "start": 195, "end": 200, "detection_confidence": 0.999962}, {"word": "inhaltion", "start": 201, "end": 210, "detection_confidence": 0.999783}, {"word": "dengu", "start": 257, "end": 262, "detection_confidence": 1.0}, {"word": "antigen", "start": 267, "end": 274, "detection_confidence": 0.999699}, {"word": "urin", "start": 293, "end": 297, "detection_confidence": 0.99996}, {"word": "analysis.", "start": 306, "end": 315, "detection_confidence": 0.99979}, {"word": "appeers", "start": 320, "end": 327, "detection_confidence": 0.999972}, {"word": "abnormal", "start": 335, "end": 343, "detection_confidence": 0.999982}, {"word": "possibel", "start": 349, "end": 357, "detection_confidence": 0.999984}, {"word": "tachycardya.", "start": 358, "end": 370, "detection_confidence": 0.99995}], "combined_confidence": 0.999888}</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</si>
  <si>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</si>
  <si>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"okay. &lt;&lt;yeah.&gt;&gt; the patient is suspected to have &lt;&lt;dengue.&gt;&gt; i &lt;&lt;advise&gt;&gt; him for a type 5 test. &lt;&lt;tengu&gt;&gt; &lt;&lt;test&gt;&gt; cbc i &lt;&lt;advise&gt;&gt; you to take warm &lt;&lt;gargles&gt;&gt; with &lt;&lt;saline&gt;&gt; &lt;&lt;water.&gt;&gt; &lt;&lt;degu-&gt;&gt;  11 cell panel for &lt;&lt;antibody&gt;&gt; identification and 4 hours &lt;&lt;urinary&gt;&gt; &lt;&lt;aldosterone.&gt;&gt; 24 hours &lt;&lt;urinary&gt;&gt; free &lt;&lt;cortisol&gt;&gt; cell panel &lt;&lt;antibody&gt;&gt; screening for pregnant female pd crt &lt;&lt;mmrt,&gt;&gt; &lt;&lt;vmat,&gt;&gt; &lt;&lt;igrt.&gt;&gt; pin &lt;&lt;expansion&gt;&gt; &lt;&lt;screw&gt;&gt; abg. me. be &lt;&lt;hungry.&gt;&gt; abu &lt;&lt;antibody&gt;&gt; &lt;&lt;titer.&gt;&gt; &lt;&lt;tengu&gt;&gt;", "detected_words": [{"word": "yeah.", "start": 6, "end": 11, "detection_confidence": 0.999992}, {"word": "dengue.", "start": 45, "end": 52, "detection_confidence": 0.999999}, {"word": "advise", "start": 55, "end": 61, "detection_confidence": 0.999972}, {"word": "tengu", "start": 85, "end": 90, "detection_confidence": 0.999948}, {"word": "test", "start": 91, "end": 95, "detection_confidence": 0.999607}, {"word": "advise", "start": 102, "end": 108, "detection_confidence": 0.999881}, {"word": "gargles", "start": 126, "end": 133, "detection_confidence": 1.0}, {"word": "saline", "start": 139, "end": 145, "detection_confidence": 0.999991}, {"word": "water.", "start": 146, "end": 152, "detection_confidence": 0.999958}, {"word": "degu-", "start": 153, "end": 158, "detection_confidence": 0.999999}, {"word": "antibody", "start": 178, "end": 186, "detection_confidence": 0.99988}, {"word": "urinary", "start": 214, "end": 221, "detection_confidence": 0.999925}, {"word": "aldosterone.", "start": 222, "end": 234, "detection_confidence": 0.999999}, {"word": "urinary", "start": 244, "end": 251, "detection_confidence": 0.999847}, {"word": "cortisol", "start": 257, "end": 265, "detection_confidence": 0.999917}, {"word": "antibody", "start": 277, "end": 285, "detection_confidence": 0.999982}, {"word": "mmrt,", "start": 323, "end": 328, "detection_confidence": 0.999998}, {"word": "vmat,", "start": 329, "end": 334, "detection_confidence": 0.999264}, {"word": "igrt.", "start": 335, "end": 340, "detection_confidence": 0.99999}, {"word": "expansion", "start": 345, "end": 354, "detection_confidence": 1.0}, {"word": "screw", "start": 355, "end": 360, "detection_confidence": 0.999872}, {"word": "hungry.", "start": 373, "end": 380, "detection_confidence": 0.999078}, {"word": "antibody", "start": 385, "end": 393, "detection_confidence": 0.999969}, {"word": "titer.", "start": 394, "end": 400, "detection_confidence": 0.999985}, {"word": "tengu", "start": 401, "end": 406, "detection_confidence": 0.999932}], "combined_confidence": 0.999879}</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</si>
  <si>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</si>
  <si>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ClinicalBERT_detection</t>
  </si>
  <si>
    <t>output</t>
  </si>
  <si>
    <t xml:space="preserve">detection </t>
  </si>
  <si>
    <t>error</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</si>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</sst>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horizontal="left"/>
    </xf>
    <xf numFmtId="0" fontId="0" fillId="0" borderId="0" xfId="0" applyAlignment="1">
      <alignment wrapText="1"/>
    </xf>
  </cellXfs>
  <cellStyles count="1">
    <cellStyle name="Normal" xfId="0" builtinId="0"/>
  </cellStyles>
  <dxfs count="4">
    <dxf>
      <alignment horizontal="left"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4DB801-A081-4B35-8647-548CEB38F2C2}" name="Table1" displayName="Table1" ref="B4:H9" totalsRowShown="0" headerRowDxfId="1" headerRowBorderDxfId="2" tableBorderDxfId="3">
  <autoFilter ref="B4:H9" xr:uid="{344DB801-A081-4B35-8647-548CEB38F2C2}"/>
  <tableColumns count="7">
    <tableColumn id="1" xr3:uid="{6F01B49D-81A9-4D50-9D02-20883BF2DAB9}" name="Row" dataDxfId="0"/>
    <tableColumn id="2" xr3:uid="{5C2ACF5B-B38D-47A3-982D-19D54B7FFF48}" name="BioClinicalBERT"/>
    <tableColumn id="3" xr3:uid="{5096177A-24BF-485A-9913-31385E28A115}" name="PubMedBERT"/>
    <tableColumn id="4" xr3:uid="{1AA4757C-FD5D-445F-B011-B4FC0A796740}" name="ClinicalBERT"/>
    <tableColumn id="5" xr3:uid="{C34711B1-53E7-45BA-9844-1036A5A89517}" name="SapBERT"/>
    <tableColumn id="6" xr3:uid="{32D85AD4-9298-4D41-A8E8-2D031A1FB1F8}" name="FLAN-T5"/>
    <tableColumn id="7" xr3:uid="{B4C0C731-D32C-4DD5-8A2D-93CFF57A57E4}" name="Average_Confiden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H9"/>
  <sheetViews>
    <sheetView tabSelected="1" workbookViewId="0">
      <selection activeCell="E18" sqref="E18"/>
    </sheetView>
  </sheetViews>
  <sheetFormatPr defaultRowHeight="14.4" x14ac:dyDescent="0.3"/>
  <cols>
    <col min="1" max="1" width="8.6640625" bestFit="1" customWidth="1"/>
    <col min="2" max="2" width="9.109375" bestFit="1" customWidth="1"/>
    <col min="3" max="3" width="18.33203125" bestFit="1" customWidth="1"/>
    <col min="4" max="4" width="16.88671875" bestFit="1" customWidth="1"/>
    <col min="5" max="5" width="15.5546875" bestFit="1" customWidth="1"/>
    <col min="6" max="6" width="12.77734375" bestFit="1" customWidth="1"/>
    <col min="7" max="7" width="12.44140625" bestFit="1" customWidth="1"/>
    <col min="8" max="8" width="23.109375" bestFit="1" customWidth="1"/>
  </cols>
  <sheetData>
    <row r="4" spans="2:8" x14ac:dyDescent="0.3">
      <c r="B4" s="2" t="s">
        <v>0</v>
      </c>
      <c r="C4" s="2" t="s">
        <v>2</v>
      </c>
      <c r="D4" s="2" t="s">
        <v>3</v>
      </c>
      <c r="E4" s="2" t="s">
        <v>4</v>
      </c>
      <c r="F4" s="2" t="s">
        <v>5</v>
      </c>
      <c r="G4" s="2" t="s">
        <v>6</v>
      </c>
      <c r="H4" s="2" t="s">
        <v>7</v>
      </c>
    </row>
    <row r="5" spans="2:8" x14ac:dyDescent="0.3">
      <c r="B5" s="3">
        <v>1</v>
      </c>
      <c r="C5">
        <v>0.99991200000000002</v>
      </c>
      <c r="D5">
        <v>0.99974300000000005</v>
      </c>
      <c r="E5">
        <v>0.99987899999999996</v>
      </c>
      <c r="F5">
        <v>0.99999199999999999</v>
      </c>
      <c r="G5">
        <v>1</v>
      </c>
      <c r="H5">
        <v>0.99990500000000004</v>
      </c>
    </row>
    <row r="6" spans="2:8" x14ac:dyDescent="0.3">
      <c r="B6" s="3">
        <v>2</v>
      </c>
      <c r="C6">
        <v>0.99986399999999998</v>
      </c>
      <c r="D6">
        <v>0.99993200000000004</v>
      </c>
      <c r="E6">
        <v>0.999888</v>
      </c>
      <c r="F6">
        <v>0.99999000000000005</v>
      </c>
      <c r="G6">
        <v>1</v>
      </c>
      <c r="H6">
        <v>0.99993500000000002</v>
      </c>
    </row>
    <row r="7" spans="2:8" x14ac:dyDescent="0.3">
      <c r="B7" s="3">
        <v>3</v>
      </c>
      <c r="C7">
        <v>0.99985199999999996</v>
      </c>
      <c r="D7">
        <v>0.99992400000000004</v>
      </c>
      <c r="E7">
        <v>0.99991200000000002</v>
      </c>
      <c r="F7">
        <v>0.99998799999999999</v>
      </c>
      <c r="G7">
        <v>1</v>
      </c>
      <c r="H7">
        <v>0.99993500000000002</v>
      </c>
    </row>
    <row r="8" spans="2:8" x14ac:dyDescent="0.3">
      <c r="B8" s="3">
        <v>4</v>
      </c>
      <c r="C8">
        <v>0.99973900000000004</v>
      </c>
      <c r="D8">
        <v>0.99983299999999997</v>
      </c>
      <c r="E8">
        <v>0.99995900000000004</v>
      </c>
      <c r="F8">
        <v>0.99995699999999998</v>
      </c>
      <c r="G8">
        <v>1</v>
      </c>
      <c r="H8">
        <v>0.99989799999999995</v>
      </c>
    </row>
    <row r="9" spans="2:8" x14ac:dyDescent="0.3">
      <c r="B9" s="3" t="s">
        <v>8</v>
      </c>
      <c r="C9">
        <f>AVERAGE(C5:C8)</f>
        <v>0.99984174999999997</v>
      </c>
      <c r="D9">
        <f t="shared" ref="D9:G9" si="0">AVERAGE(D5:D8)</f>
        <v>0.99985799999999991</v>
      </c>
      <c r="E9">
        <f t="shared" si="0"/>
        <v>0.99990950000000001</v>
      </c>
      <c r="F9">
        <f t="shared" si="0"/>
        <v>0.99998175000000011</v>
      </c>
      <c r="G9">
        <f t="shared" si="0"/>
        <v>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4" x14ac:dyDescent="0.3"/>
  <cols>
    <col min="1" max="1" width="17.21875" customWidth="1"/>
    <col min="2" max="2" width="37.5546875" customWidth="1"/>
  </cols>
  <sheetData>
    <row r="1" spans="1:2" x14ac:dyDescent="0.3">
      <c r="A1" s="1" t="s">
        <v>0</v>
      </c>
      <c r="B1" s="1" t="s">
        <v>1</v>
      </c>
    </row>
    <row r="2" spans="1:2" x14ac:dyDescent="0.3">
      <c r="A2">
        <v>1</v>
      </c>
      <c r="B2">
        <v>0.99991200000000002</v>
      </c>
    </row>
    <row r="3" spans="1:2" x14ac:dyDescent="0.3">
      <c r="A3">
        <v>2</v>
      </c>
      <c r="B3">
        <v>0.99986399999999998</v>
      </c>
    </row>
    <row r="4" spans="1:2" x14ac:dyDescent="0.3">
      <c r="A4">
        <v>3</v>
      </c>
      <c r="B4">
        <v>0.99985199999999996</v>
      </c>
    </row>
    <row r="5" spans="1:2" x14ac:dyDescent="0.3">
      <c r="A5">
        <v>4</v>
      </c>
      <c r="B5">
        <v>0.99973900000000004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s="1" t="s">
        <v>0</v>
      </c>
      <c r="B1" s="1" t="s">
        <v>1</v>
      </c>
    </row>
    <row r="2" spans="1:2" x14ac:dyDescent="0.3">
      <c r="A2">
        <v>1</v>
      </c>
      <c r="B2">
        <v>0.99974300000000005</v>
      </c>
    </row>
    <row r="3" spans="1:2" x14ac:dyDescent="0.3">
      <c r="A3">
        <v>2</v>
      </c>
      <c r="B3">
        <v>0.99993200000000004</v>
      </c>
    </row>
    <row r="4" spans="1:2" x14ac:dyDescent="0.3">
      <c r="A4">
        <v>3</v>
      </c>
      <c r="B4">
        <v>0.99992400000000004</v>
      </c>
    </row>
    <row r="5" spans="1:2" x14ac:dyDescent="0.3">
      <c r="A5">
        <v>4</v>
      </c>
      <c r="B5">
        <v>0.99983299999999997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B391-0D54-458E-821B-54AB619AE157}">
  <dimension ref="A1:E5"/>
  <sheetViews>
    <sheetView workbookViewId="0">
      <selection activeCell="B2" sqref="B2"/>
    </sheetView>
  </sheetViews>
  <sheetFormatPr defaultRowHeight="14.4" x14ac:dyDescent="0.3"/>
  <cols>
    <col min="2" max="2" width="48.109375" customWidth="1"/>
    <col min="5" max="5" width="90.88671875" customWidth="1"/>
  </cols>
  <sheetData>
    <row r="1" spans="1:5" x14ac:dyDescent="0.3">
      <c r="A1" s="1" t="s">
        <v>21</v>
      </c>
      <c r="B1" s="1" t="s">
        <v>20</v>
      </c>
      <c r="C1" s="1" t="s">
        <v>19</v>
      </c>
      <c r="D1" s="1" t="s">
        <v>18</v>
      </c>
      <c r="E1" s="1" t="s">
        <v>17</v>
      </c>
    </row>
    <row r="2" spans="1:5" ht="360" x14ac:dyDescent="0.3">
      <c r="A2">
        <v>1</v>
      </c>
      <c r="B2" s="4" t="s">
        <v>16</v>
      </c>
      <c r="C2" s="4"/>
      <c r="D2" s="4"/>
      <c r="E2" s="4" t="s">
        <v>15</v>
      </c>
    </row>
    <row r="3" spans="1:5" ht="302.39999999999998" x14ac:dyDescent="0.3">
      <c r="B3" s="4" t="s">
        <v>14</v>
      </c>
      <c r="C3" s="4"/>
      <c r="D3" s="4"/>
      <c r="E3" s="4" t="s">
        <v>13</v>
      </c>
    </row>
    <row r="4" spans="1:5" ht="331.2" x14ac:dyDescent="0.3">
      <c r="B4" s="4" t="s">
        <v>12</v>
      </c>
      <c r="C4" s="4"/>
      <c r="D4" s="4"/>
      <c r="E4" s="4" t="s">
        <v>11</v>
      </c>
    </row>
    <row r="5" spans="1:5" ht="388.8" x14ac:dyDescent="0.3">
      <c r="B5" s="4" t="s">
        <v>10</v>
      </c>
      <c r="C5" s="4"/>
      <c r="D5" s="4"/>
      <c r="E5" s="4" t="s">
        <v>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4.4" x14ac:dyDescent="0.3"/>
  <sheetData>
    <row r="1" spans="1:2" x14ac:dyDescent="0.3">
      <c r="A1" s="1" t="s">
        <v>0</v>
      </c>
      <c r="B1" s="1" t="s">
        <v>1</v>
      </c>
    </row>
    <row r="2" spans="1:2" x14ac:dyDescent="0.3">
      <c r="A2">
        <v>1</v>
      </c>
      <c r="B2">
        <v>0.99987899999999996</v>
      </c>
    </row>
    <row r="3" spans="1:2" x14ac:dyDescent="0.3">
      <c r="A3">
        <v>2</v>
      </c>
      <c r="B3">
        <v>0.999888</v>
      </c>
    </row>
    <row r="4" spans="1:2" x14ac:dyDescent="0.3">
      <c r="A4">
        <v>3</v>
      </c>
      <c r="B4">
        <v>0.99991200000000002</v>
      </c>
    </row>
    <row r="5" spans="1:2" x14ac:dyDescent="0.3">
      <c r="A5">
        <v>4</v>
      </c>
      <c r="B5">
        <v>0.99995900000000004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heetViews>
  <sheetFormatPr defaultRowHeight="14.4" x14ac:dyDescent="0.3"/>
  <sheetData>
    <row r="1" spans="1:2" x14ac:dyDescent="0.3">
      <c r="A1" s="1" t="s">
        <v>0</v>
      </c>
      <c r="B1" s="1" t="s">
        <v>1</v>
      </c>
    </row>
    <row r="2" spans="1:2" x14ac:dyDescent="0.3">
      <c r="A2">
        <v>1</v>
      </c>
      <c r="B2">
        <v>0.99999199999999999</v>
      </c>
    </row>
    <row r="3" spans="1:2" x14ac:dyDescent="0.3">
      <c r="A3">
        <v>2</v>
      </c>
      <c r="B3">
        <v>0.99999000000000005</v>
      </c>
    </row>
    <row r="4" spans="1:2" x14ac:dyDescent="0.3">
      <c r="A4">
        <v>3</v>
      </c>
      <c r="B4">
        <v>0.99998799999999999</v>
      </c>
    </row>
    <row r="5" spans="1:2" x14ac:dyDescent="0.3">
      <c r="A5">
        <v>4</v>
      </c>
      <c r="B5">
        <v>0.99995699999999998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4" x14ac:dyDescent="0.3"/>
  <sheetData>
    <row r="1" spans="1:2" x14ac:dyDescent="0.3">
      <c r="A1" s="1" t="s">
        <v>0</v>
      </c>
      <c r="B1" s="1" t="s">
        <v>1</v>
      </c>
    </row>
    <row r="2" spans="1:2" x14ac:dyDescent="0.3">
      <c r="A2">
        <v>1</v>
      </c>
      <c r="B2">
        <v>1</v>
      </c>
    </row>
    <row r="3" spans="1:2" x14ac:dyDescent="0.3">
      <c r="A3">
        <v>2</v>
      </c>
      <c r="B3">
        <v>1</v>
      </c>
    </row>
    <row r="4" spans="1:2" x14ac:dyDescent="0.3">
      <c r="A4">
        <v>3</v>
      </c>
      <c r="B4">
        <v>1</v>
      </c>
    </row>
    <row r="5" spans="1:2" x14ac:dyDescent="0.3">
      <c r="A5">
        <v>4</v>
      </c>
      <c r="B5">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BioClinicalBERT</vt:lpstr>
      <vt:lpstr>PubMedBERT</vt:lpstr>
      <vt:lpstr>Sheet1</vt:lpstr>
      <vt:lpstr>ClinicalBERT</vt:lpstr>
      <vt:lpstr>SapBERT</vt:lpstr>
      <vt:lpstr>FLAN-T5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2026-06-16T10:18:09Z</dcterms:created>
  <dcterms:modified xsi:type="dcterms:W3CDTF">2026-06-16T11:58:41Z</dcterms:modified>
</cp:coreProperties>
</file>