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ITESH S ROY\OneDrive\Documents\Medical_Checker\"/>
    </mc:Choice>
  </mc:AlternateContent>
  <xr:revisionPtr revIDLastSave="0" documentId="13_ncr:1_{2D8A013A-6412-4B6D-B76A-94EC5C8A0103}" xr6:coauthVersionLast="47" xr6:coauthVersionMax="47" xr10:uidLastSave="{00000000-0000-0000-0000-000000000000}"/>
  <bookViews>
    <workbookView xWindow="-108" yWindow="-108" windowWidth="23256" windowHeight="12456" firstSheet="1" activeTab="6" xr2:uid="{00000000-000D-0000-FFFF-FFFF00000000}"/>
  </bookViews>
  <sheets>
    <sheet name="Model_Detail" sheetId="1" r:id="rId1"/>
    <sheet name="Input_Data" sheetId="2" r:id="rId2"/>
    <sheet name="Real_data" sheetId="8" r:id="rId3"/>
    <sheet name="BioClinicalBERT_Perf" sheetId="3" r:id="rId4"/>
    <sheet name="PubMedBERT_Res" sheetId="4" r:id="rId5"/>
    <sheet name="ClinicalBERT" sheetId="5" r:id="rId6"/>
    <sheet name="SapBERT" sheetId="6" r:id="rId7"/>
    <sheet name="FLAN-T5"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3" l="1"/>
  <c r="E12" i="3"/>
  <c r="E6" i="7"/>
  <c r="E6" i="6"/>
  <c r="E6" i="5"/>
  <c r="E6" i="4"/>
</calcChain>
</file>

<file path=xl/sharedStrings.xml><?xml version="1.0" encoding="utf-8"?>
<sst xmlns="http://schemas.openxmlformats.org/spreadsheetml/2006/main" count="136" uniqueCount="53">
  <si>
    <t>S.NO</t>
  </si>
  <si>
    <t>error</t>
  </si>
  <si>
    <t>output</t>
  </si>
  <si>
    <t>Similarity_Percentage</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</si>
  <si>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</si>
  <si>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 "corrected_text":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</si>
  <si>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</si>
  <si>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 "corrected_text": "The patient complains of severe hedache, body pain and episodic feever for the last 3 days. I suspect typoid or early malaria. Please advise lft, kft and platlet count. Start oral rehydation and steam inhalation twice daily. The patient was also advised for dengu NS1 antigen test and 12 hours urin protein analysis. ECG appeers mildly abnormal with possibel tachycardya.</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</si>
  <si>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</si>
  <si>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 "corrected_text": "Patient reports chest tigtness, dry caugh and intermttent breathlessness after mild excercise. Advise xray chest pa view, pulmnory function tst and tropnin levels. Nebuliztion with budecort was started. There is suspicion of pneomonia and early bronkitis. Recommend warm saline gargels and oxygen satuation monitoring every 6 hours. Cardic enzyme profile and echocardiogrm should be repeated tomorrow.</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</si>
  <si>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</si>
  <si>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 "corrected_text": "Suggested beta hcg, thyriod profile and usg pelivs scan. Hb level appears low with possibel anemea. Please perform urin culture sensitivity and fetel anomaly scannning. Patient also advised iron supplementation and folc acid tablets. Suspected gestonal diabetis and mild hypertention require furthur evaluation.</t>
  </si>
  <si>
    <t xml:space="preserve">Details Of </t>
  </si>
  <si>
    <t>Models Used For</t>
  </si>
  <si>
    <t>Word Error Detection In Doctor-Patient Conversation</t>
  </si>
  <si>
    <t>Model Name</t>
  </si>
  <si>
    <t>Sample_Input</t>
  </si>
  <si>
    <t>Output</t>
  </si>
  <si>
    <t>Accuracy</t>
  </si>
  <si>
    <t>BioClinicalBERT</t>
  </si>
  <si>
    <t>Input_Data!A1</t>
  </si>
  <si>
    <t>PubMedBERT</t>
  </si>
  <si>
    <t>ClinicalBERT</t>
  </si>
  <si>
    <t>SapBERT</t>
  </si>
  <si>
    <t>FLAN-T5</t>
  </si>
  <si>
    <t>okay. yeah. the patient is suspected to have dengue.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</si>
  <si>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The patient complains of severe hedache, body pain and episodic feever for the last 3 days. I suspect typoid or early malaria. Please advise lft, kft and platlet count. Start oral rehydation and steam inhalation twice daily. The patient was also advised for dengu NS1 antigen test and 12 hours urin protein analysis. ECG appeers mildly abnormal with possibel tachycardya.</t>
  </si>
  <si>
    <t>Patient reports chest tigtness, dry caugh and intermttent breathlessness after mild excercise. Advise xray chest pa view, pulmnory function tst and tropnin levels. Nebuliztion with budecort was started. There is suspicion of pneomonia and early bronkitis. Recommend warm saline gargels and oxygen satuation monitoring every 6 hours. Cardic enzyme profile and echocardiogrm should be repeated tomorrow.</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</si>
  <si>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supplementation and folc acid tablets. Suspected gestonal diabetis and mild hypertention require furthur evaluation.</t>
  </si>
  <si>
    <t>A patient reported chest tigtness, dry caugh and intermttent breathlessness after mild exercise. Advise xray chest pa view, pulmnory function tst and tropnin levels. Nebuliztion with budecort was started. There is suspicion of pneomonia and early bronkitis. Recommend warm saline gargels and oxygen satuation monitoring every 6 hours. Cardic enzyme profile and echocardiogrm should be repeated tomorrow.</t>
  </si>
  <si>
    <t>okay yeah the patient is suspected to have dengue i advise him for a type 5 test dengue test CBC i advise you to take warm gargles with saline water dead 11 cell panel for antibody identification and 4 hours urinary aldosterone 24 hours urinary free cortisol cell panel antibody screening for pregnant female ad cut mart mat girt pin expansion screw bag me be hungry abs antibody titer dengue.</t>
  </si>
  <si>
    <t>The patient complains of severe headache body pain and episodic fever for the last 3 days I suspect typhoid or early malaria Please advise let kit and platelet count Start oral dehydration and steam inhalation twice daily The patient was also advised for dengue is antigen test and 12 hours ruin protein analysis ECG appears mildly abnormal with possible tachycardia.</t>
  </si>
  <si>
    <t>Patient reports chest tightness dry caught and intermittent breathlessness after mild exercise Advise pray chest pa view pulmonary function test and tropic levels nebulization with budecort was started There is suspicion of pneumonia and early bronchitis recommended warm saline gargles and oxygen situation monitoring every 6 hours cardiac enzyme profile and echocardiogrm should be repeated tomorrow.</t>
  </si>
  <si>
    <t>Pregnant female presents with dizziness lower abdominal discomfort and occasional vomiting Suggested beta hug thyroid profile and us pelvis scan he level appears low with possible anemia Please perform ruin culture sensitivity and feel anomaly scanning Patient also advised iron supplementation and folk acid tablets Suspected gestational diabetes and mild hypertension require further evolution.</t>
  </si>
  <si>
    <t>okay yeah the patient is suspected to have dengue i advise him for a type 5 test tenge test csc i advise you to take warm gargles with saline water dead 11 cell panel for antibody identification and 4 hours urinary aldosterone 24 hours urinary free cortisol cell panel antibody screening for pregnant female ad cut mart mat girt pin expansion screw bag me be hungry abs antibody titer tenge.</t>
  </si>
  <si>
    <t>The patient complains of severe headache body pain and episodic fever for the last 3 days I suspect typhoid or early malaria Please advise let kit and platelet count Start oral dehydration and steam inhalation twice daily The patient was also advised for dengue is antigen test and 12 hours ruin protein analysis egg appears mildly abnormal with possible tachycardia</t>
  </si>
  <si>
    <t>Pregnant female presents with dizziness lower abdominal discomfort and occasional vomiting Suggested beta hug thyroid profile and us pelvis scan he level appears low with possible anemia Please perform ruin culture sensitivity and feel anomaly scanning Patient also advised iron supplementation and folk acid tablets Suspected gestural diabetes and mild hypertension require further evolution.</t>
  </si>
  <si>
    <t>AVERAGE</t>
  </si>
  <si>
    <t>Average</t>
  </si>
  <si>
    <t>BioClinicalBERT_Perf!A1</t>
  </si>
  <si>
    <t>PubMedBERT_Res!A1</t>
  </si>
  <si>
    <t>ClinicalBERT!A1</t>
  </si>
  <si>
    <t>SapBERT!A1</t>
  </si>
  <si>
    <t>FLAN-T5'!A1</t>
  </si>
  <si>
    <t>Real_Data</t>
  </si>
  <si>
    <t>okay. yeah. the patient is suspected to have dengue. i advise him for a type 5 test. dengue test cbc i advise you to take warm gargles with saline water. dengue- 11 cell panel for antibody identification and 4 hours urinary aldosterone. 24 hours urinary free cortisol cell panel antibody screening for pregnant female pd crt mmrt, vmat, igrt. pin expansion screw abg. me. be hungry. abu antibody titer. dengue</t>
  </si>
  <si>
    <t>The patient complains of severe headache, body pain and episodic fever for the last 3 days. I suspect typhoid or early malaria. Please advise lft, kft and platelet count. Start oral rehydration and steam inhalation twice daily. The patient was also advised for dengue NS1 antigen test and 12 hours urine protein analysis. ECG appears mildly abnormal with possible tachycardia.</t>
  </si>
  <si>
    <t>Patient reports chest tightness, dry cough and intermittent breathlessness after mild exercise. Advise xray chest pa view, pulmonary function test and troponin levels. Nebulization with Budecort was started. There is suspicion of pneumonia and early bronchitis. Recommended warm saline gargles and oxygen saturation monitoring every 6 hours. Cardiac enzyme profile and echocardiogram should be repeated tomorrow.</t>
  </si>
  <si>
    <t>Pregnant female presents with dizziness, lower abdominal discomfort and occasional vomiting. Suggested beta hcg, thyroid profile and usg pelvis scan. Hb level appears low with possible anemia. Please perform urine culture sensitivity and fetal anomaly scanning. Patient also advised iron supplementation and folic acid tablets. Suspected gestational diabetes and mild hypertension require further evaluation.</t>
  </si>
  <si>
    <t>okay. yeah. the patient is suspected to have dengue. I advise him for a type 5 test. dengue test CBC I advise you to take warm gargles with saline water. dengue- 11 cell panel for antibody identification and 4 hours urinary aldosterone. 24 hours urinary free cortisol cell panel antibody screening for pregnant female pd crt mmrt, vmat, igrt. pin expansion screw abg. me. be hungry. abu antibody titer. dengue</t>
  </si>
  <si>
    <t>The patient complains of severe headache, body pain and episodic fever for the last 3 days. I suspect typoid or early malaria. Please advise lft, kft and platlet count. Start oral rehydation and steam inhalation twice daily. The patient was also advised for dengu NS1 antigen test and 12 hours urin protein analysis. ECG appeers mildly abnormal with possibel tachycardia.</t>
  </si>
  <si>
    <t>Patient reports chest tightness,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tomorrow.</t>
  </si>
  <si>
    <t>Suggested beta hcg, thyroid profile and usg pelivs scan. Hb level appears low with possibel anemia. Please perform urin culture sensitivity and fetel anomaly scannning. Patient advised iron supplementation and folc acid tablets. Suspected gestational diabetis and mild hypertension require furthur evalution.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</si>
</sst>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4"/>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1" fillId="0" borderId="0"/>
  </cellStyleXfs>
  <cellXfs count="15">
    <xf numFmtId="0" fontId="0" fillId="0" borderId="0" xfId="0"/>
    <xf numFmtId="0" fontId="0" fillId="0" borderId="0" xfId="0"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left" vertical="center" indent="1"/>
    </xf>
    <xf numFmtId="0" fontId="0" fillId="0" borderId="0" xfId="0" applyAlignment="1">
      <alignment wrapText="1"/>
    </xf>
    <xf numFmtId="0" fontId="0" fillId="0" borderId="0" xfId="0" applyAlignment="1">
      <alignment horizontal="center" wrapText="1"/>
    </xf>
    <xf numFmtId="0" fontId="1" fillId="0" borderId="0" xfId="1"/>
    <xf numFmtId="0" fontId="3" fillId="0" borderId="1" xfId="0" applyFont="1" applyBorder="1" applyAlignment="1">
      <alignment horizontal="center" vertical="top" wrapText="1"/>
    </xf>
    <xf numFmtId="0" fontId="1" fillId="0" borderId="0" xfId="1" quotePrefix="1"/>
    <xf numFmtId="0" fontId="3" fillId="0" borderId="1" xfId="0" applyFont="1" applyBorder="1" applyAlignment="1">
      <alignment horizontal="center" vertical="top"/>
    </xf>
    <xf numFmtId="0" fontId="2" fillId="0" borderId="0" xfId="0" applyFont="1" applyAlignment="1">
      <alignment horizontal="right"/>
    </xf>
    <xf numFmtId="0" fontId="0" fillId="0" borderId="0" xfId="0" applyAlignment="1">
      <alignment vertical="top"/>
    </xf>
    <xf numFmtId="0" fontId="0" fillId="0" borderId="0" xfId="0" applyAlignment="1">
      <alignment vertical="top" wrapText="1"/>
    </xf>
    <xf numFmtId="0" fontId="0" fillId="0" borderId="0" xfId="0" applyAlignment="1"/>
  </cellXfs>
  <cellStyles count="2">
    <cellStyle name="Hyperlink" xfId="1" builtinId="8"/>
    <cellStyle name="Normal" xfId="0" builtinId="0"/>
  </cellStyles>
  <dxfs count="36">
    <dxf>
      <alignment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1" indent="0" justifyLastLine="0" shrinkToFit="0" readingOrder="0"/>
      <border diagonalUp="0" diagonalDown="0" outline="0">
        <left style="thin">
          <color auto="1"/>
        </left>
        <right style="thin">
          <color auto="1"/>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1" indent="0" justifyLastLine="0" shrinkToFit="0" readingOrder="0"/>
    </dxf>
    <dxf>
      <font>
        <strike val="0"/>
        <outline val="0"/>
        <shadow val="0"/>
        <vertAlign val="baseline"/>
        <sz val="14"/>
        <color theme="1"/>
        <name val="Calibri"/>
        <family val="2"/>
        <scheme val="minor"/>
      </font>
    </dxf>
    <dxf>
      <font>
        <strike val="0"/>
        <outline val="0"/>
        <shadow val="0"/>
        <vertAlign val="baseline"/>
        <sz val="14"/>
        <color theme="1"/>
        <name val="Calibri"/>
        <family val="2"/>
        <scheme val="minor"/>
      </font>
    </dxf>
    <dxf>
      <font>
        <strike val="0"/>
        <outline val="0"/>
        <shadow val="0"/>
        <vertAlign val="baseline"/>
        <sz val="14"/>
        <color theme="1"/>
        <name val="Calibri"/>
        <family val="2"/>
        <scheme val="minor"/>
      </font>
    </dxf>
    <dxf>
      <font>
        <strike val="0"/>
        <outline val="0"/>
        <shadow val="0"/>
        <vertAlign val="baseline"/>
        <sz val="14"/>
        <color theme="1"/>
        <name val="Calibri"/>
        <family val="2"/>
        <scheme val="minor"/>
      </font>
      <alignment horizontal="left" vertical="center" indent="1"/>
    </dxf>
    <dxf>
      <font>
        <strike val="0"/>
        <outline val="0"/>
        <shadow val="0"/>
        <vertAlign val="baseline"/>
        <sz val="14"/>
        <color theme="1"/>
        <name val="Calibri"/>
        <family val="2"/>
        <scheme val="minor"/>
      </font>
    </dxf>
    <dxf>
      <font>
        <strike val="0"/>
        <outline val="0"/>
        <shadow val="0"/>
        <vertAlign val="baseline"/>
        <sz val="14"/>
        <color theme="1"/>
        <name val="Calibri"/>
        <family val="2"/>
        <scheme val="minor"/>
      </font>
    </dxf>
    <dxf>
      <font>
        <strike val="0"/>
        <outline val="0"/>
        <shadow val="0"/>
        <vertAlign val="baseline"/>
        <sz val="14"/>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 displayName="Table13" ref="B5:F10" totalsRowShown="0" headerRowDxfId="35" dataDxfId="34">
  <autoFilter ref="B5:F10" xr:uid="{00000000-0009-0000-0100-000001000000}"/>
  <tableColumns count="5">
    <tableColumn id="5" xr3:uid="{00000000-0010-0000-0000-000005000000}" name="S.NO" dataDxfId="33"/>
    <tableColumn id="1" xr3:uid="{00000000-0010-0000-0000-000001000000}" name="Model Name" dataDxfId="32"/>
    <tableColumn id="2" xr3:uid="{00000000-0010-0000-0000-000002000000}" name="Sample_Input" dataDxfId="31"/>
    <tableColumn id="3" xr3:uid="{00000000-0010-0000-0000-000003000000}" name="Output" dataDxfId="30"/>
    <tableColumn id="4" xr3:uid="{00000000-0010-0000-0000-000004000000}" name="Accuracy" dataDxfId="29"/>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2C0A963-3D47-4F03-8A8F-00A854522FAC}" name="Table7" displayName="Table7" ref="B1:B1048576" totalsRowShown="0" headerRowDxfId="28" dataDxfId="26" headerRowBorderDxfId="27">
  <autoFilter ref="B1:B1048576" xr:uid="{62C0A963-3D47-4F03-8A8F-00A854522FAC}"/>
  <tableColumns count="1">
    <tableColumn id="1" xr3:uid="{29A1EDBD-DD05-4876-BF4E-7B9C9CF65070}" name="Real_Data" dataDxfId="25"/>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EC0D73-A5C6-47FC-A61A-58837A800776}" name="Table2" displayName="Table2" ref="A1:E6" totalsRowShown="0" headerRowDxfId="24" headerRowBorderDxfId="23" tableBorderDxfId="22">
  <autoFilter ref="A1:E6" xr:uid="{87EC0D73-A5C6-47FC-A61A-58837A800776}"/>
  <tableColumns count="5">
    <tableColumn id="1" xr3:uid="{6659B3EB-8EB0-4B20-A2CE-7FD111057D22}" name="S.NO"/>
    <tableColumn id="2" xr3:uid="{0AD4A8CA-413E-45D1-8C14-1CE31FC3699A}" name="error" dataDxfId="21"/>
    <tableColumn id="3" xr3:uid="{E981BB07-BDF3-4366-BEAB-BDA4ADCAD72A}" name="Real_Data" dataDxfId="20"/>
    <tableColumn id="4" xr3:uid="{6887697C-80AA-48CC-B9D2-2BFC030A12BA}" name="output" dataDxfId="19"/>
    <tableColumn id="5" xr3:uid="{432D4447-00F0-4055-AD7E-35F27A58C5A8}" name="Similarity_Percentage"/>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5D33F1-0EEB-482C-BB81-13ACB4F9B972}" name="Table3" displayName="Table3" ref="A1:E1048576" totalsRowShown="0" headerRowDxfId="18" headerRowBorderDxfId="17" tableBorderDxfId="16">
  <autoFilter ref="A1:E1048576" xr:uid="{EE5D33F1-0EEB-482C-BB81-13ACB4F9B972}"/>
  <tableColumns count="5">
    <tableColumn id="1" xr3:uid="{6F442679-A8F7-408A-8A40-520BDB04FB33}" name="S.NO"/>
    <tableColumn id="2" xr3:uid="{793FD2B5-669E-4D32-B34A-1D809C5C6A59}" name="error"/>
    <tableColumn id="3" xr3:uid="{FFB4EF02-4754-4F08-A630-64A26D7826E2}" name="Real_Data"/>
    <tableColumn id="4" xr3:uid="{527C19F8-74FA-4CBF-91DA-E1EE16CD865D}" name="output"/>
    <tableColumn id="5" xr3:uid="{850743CF-20BF-47A8-8EC6-6873EED4D75A}" name="Similarity_Percentage"/>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4DBCC70-94F0-4B36-9930-3832995A7E56}" name="Table4" displayName="Table4" ref="A1:E1048576" totalsRowShown="0" headerRowDxfId="15" headerRowBorderDxfId="14" tableBorderDxfId="13">
  <autoFilter ref="A1:E1048576" xr:uid="{74DBCC70-94F0-4B36-9930-3832995A7E56}"/>
  <tableColumns count="5">
    <tableColumn id="1" xr3:uid="{924B26B6-9FFE-41E6-8A18-749AEE82F782}" name="S.NO"/>
    <tableColumn id="2" xr3:uid="{34ED9AF0-5292-439E-9C6E-D19D5E39AC51}" name="error"/>
    <tableColumn id="3" xr3:uid="{431733B6-4A44-449D-BCDE-F9338F15EA48}" name="Real_Data"/>
    <tableColumn id="4" xr3:uid="{7D47051F-A30A-4FA3-A6F9-904566B2934C}" name="output"/>
    <tableColumn id="5" xr3:uid="{9B358F57-8B9B-4202-BA4E-B2D265FBEFC9}" name="Similarity_Percentage"/>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C2CE015-AA83-46BB-BD14-0C482624DAFB}" name="Table5" displayName="Table5" ref="A1:E1048576" totalsRowShown="0" headerRowDxfId="12" headerRowBorderDxfId="11" tableBorderDxfId="10">
  <autoFilter ref="A1:E1048576" xr:uid="{FC2CE015-AA83-46BB-BD14-0C482624DAFB}"/>
  <tableColumns count="5">
    <tableColumn id="1" xr3:uid="{D518F4D9-C5D6-458F-9905-0295AE628023}" name="S.NO"/>
    <tableColumn id="2" xr3:uid="{D54822C0-5F3F-4873-9F6E-CF099E63BAB9}" name="error" dataDxfId="0"/>
    <tableColumn id="3" xr3:uid="{4D051C08-114E-4463-BB65-0F7155DDB2D0}" name="Real_Data"/>
    <tableColumn id="4" xr3:uid="{DB0B014C-DFD9-4DB1-86F6-FE86342C5E83}" name="output"/>
    <tableColumn id="5" xr3:uid="{CE348B13-CFF8-41B4-A99F-F931D2D90F4F}" name="Similarity_Percentage"/>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7D86E6A-E187-4460-AE65-49A283B8CC9B}" name="Table6" displayName="Table6" ref="A1:E1048576" totalsRowShown="0" headerRowDxfId="9" dataDxfId="1" headerRowBorderDxfId="8" tableBorderDxfId="7">
  <autoFilter ref="A1:E1048576" xr:uid="{57D86E6A-E187-4460-AE65-49A283B8CC9B}"/>
  <tableColumns count="5">
    <tableColumn id="1" xr3:uid="{B94EE390-26DE-4CD8-B13F-C9CF5CBA9A59}" name="S.NO" dataDxfId="6"/>
    <tableColumn id="2" xr3:uid="{F1152929-1455-42DD-ABB4-ED2E84190E2D}" name="error" dataDxfId="5"/>
    <tableColumn id="3" xr3:uid="{0691029B-7F79-4EA3-9522-62EC09454779}" name="Real_Data" dataDxfId="4"/>
    <tableColumn id="4" xr3:uid="{EE4D53C6-7422-46BF-A249-404B4962361C}" name="output" dataDxfId="3"/>
    <tableColumn id="5" xr3:uid="{D141BDFE-78E9-4830-88FF-A38366282C6A}" name="Similarity_Percentage" dataDxfId="2"/>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zoomScaleNormal="100" workbookViewId="0">
      <selection activeCell="E14" sqref="E14"/>
    </sheetView>
  </sheetViews>
  <sheetFormatPr defaultRowHeight="14.4" x14ac:dyDescent="0.3"/>
  <cols>
    <col min="3" max="3" width="27" customWidth="1"/>
    <col min="4" max="4" width="14.88671875" customWidth="1"/>
    <col min="5" max="5" width="24.44140625" customWidth="1"/>
    <col min="6" max="6" width="19.33203125" customWidth="1"/>
    <col min="7" max="7" width="16.44140625" customWidth="1"/>
    <col min="8" max="8" width="22.109375" customWidth="1"/>
    <col min="9" max="9" width="15.33203125" customWidth="1"/>
  </cols>
  <sheetData>
    <row r="1" spans="1:10" ht="18" customHeight="1" x14ac:dyDescent="0.35">
      <c r="B1" s="2"/>
      <c r="C1" s="2"/>
      <c r="D1" s="2"/>
      <c r="E1" s="2"/>
      <c r="F1" s="2"/>
    </row>
    <row r="2" spans="1:10" ht="18" customHeight="1" x14ac:dyDescent="0.35">
      <c r="B2" s="2"/>
      <c r="C2" s="2"/>
      <c r="D2" s="3" t="s">
        <v>12</v>
      </c>
      <c r="E2" s="3"/>
      <c r="F2" s="3"/>
      <c r="J2" s="1"/>
    </row>
    <row r="3" spans="1:10" ht="18" customHeight="1" x14ac:dyDescent="0.35">
      <c r="B3" s="2"/>
      <c r="C3" s="2"/>
      <c r="D3" s="3" t="s">
        <v>13</v>
      </c>
      <c r="E3" s="3"/>
      <c r="F3" s="3"/>
      <c r="J3" s="1"/>
    </row>
    <row r="4" spans="1:10" ht="18" customHeight="1" x14ac:dyDescent="0.35">
      <c r="C4" s="3"/>
      <c r="D4" s="11"/>
      <c r="E4" s="11" t="s">
        <v>14</v>
      </c>
      <c r="F4" s="11"/>
      <c r="G4" s="3"/>
      <c r="J4" s="1"/>
    </row>
    <row r="5" spans="1:10" ht="18" customHeight="1" x14ac:dyDescent="0.35">
      <c r="B5" s="2" t="s">
        <v>0</v>
      </c>
      <c r="C5" s="2" t="s">
        <v>15</v>
      </c>
      <c r="D5" s="2" t="s">
        <v>16</v>
      </c>
      <c r="E5" s="2" t="s">
        <v>17</v>
      </c>
      <c r="F5" s="2" t="s">
        <v>18</v>
      </c>
    </row>
    <row r="6" spans="1:10" ht="18" customHeight="1" x14ac:dyDescent="0.35">
      <c r="B6" s="2">
        <v>1</v>
      </c>
      <c r="C6" s="4" t="s">
        <v>19</v>
      </c>
      <c r="D6" s="7" t="s">
        <v>20</v>
      </c>
      <c r="E6" s="7" t="s">
        <v>39</v>
      </c>
      <c r="F6" s="2">
        <v>91.8</v>
      </c>
    </row>
    <row r="7" spans="1:10" ht="18" customHeight="1" x14ac:dyDescent="0.35">
      <c r="B7" s="2">
        <v>2</v>
      </c>
      <c r="C7" s="4" t="s">
        <v>21</v>
      </c>
      <c r="D7" s="7" t="s">
        <v>20</v>
      </c>
      <c r="E7" s="7" t="s">
        <v>40</v>
      </c>
      <c r="F7" s="2">
        <v>80.069999999999993</v>
      </c>
    </row>
    <row r="8" spans="1:10" ht="18" customHeight="1" x14ac:dyDescent="0.35">
      <c r="B8" s="2">
        <v>3</v>
      </c>
      <c r="C8" s="4" t="s">
        <v>22</v>
      </c>
      <c r="D8" s="7" t="s">
        <v>20</v>
      </c>
      <c r="E8" s="7" t="s">
        <v>41</v>
      </c>
      <c r="F8" s="2">
        <v>90.02</v>
      </c>
    </row>
    <row r="9" spans="1:10" ht="18" customHeight="1" x14ac:dyDescent="0.35">
      <c r="B9" s="2">
        <v>4</v>
      </c>
      <c r="C9" s="4" t="s">
        <v>23</v>
      </c>
      <c r="D9" s="7" t="s">
        <v>20</v>
      </c>
      <c r="E9" s="7" t="s">
        <v>42</v>
      </c>
      <c r="F9" s="2">
        <v>93.11</v>
      </c>
    </row>
    <row r="10" spans="1:10" ht="18" customHeight="1" x14ac:dyDescent="0.35">
      <c r="B10" s="2">
        <v>5</v>
      </c>
      <c r="C10" s="4" t="s">
        <v>24</v>
      </c>
      <c r="D10" s="7" t="s">
        <v>20</v>
      </c>
      <c r="E10" s="9" t="s">
        <v>43</v>
      </c>
      <c r="F10" s="2">
        <v>92.31</v>
      </c>
    </row>
    <row r="11" spans="1:10" ht="18" customHeight="1" x14ac:dyDescent="0.35">
      <c r="A11" s="2"/>
      <c r="B11" s="4"/>
      <c r="C11" s="2"/>
      <c r="D11" s="2"/>
      <c r="E11" s="2"/>
    </row>
    <row r="13" spans="1:10" ht="18" customHeight="1" x14ac:dyDescent="0.35">
      <c r="D13" s="2"/>
      <c r="E13" s="2"/>
      <c r="F13" s="2"/>
      <c r="G13" s="2"/>
      <c r="H13" s="2"/>
      <c r="I13" s="2"/>
    </row>
    <row r="14" spans="1:10" ht="18" customHeight="1" x14ac:dyDescent="0.35">
      <c r="D14" s="2"/>
      <c r="E14" s="2"/>
      <c r="F14" s="2"/>
      <c r="G14" s="2"/>
      <c r="H14" s="2"/>
      <c r="I14" s="2"/>
    </row>
  </sheetData>
  <hyperlinks>
    <hyperlink ref="D6" location="Input_Data!A1" display="Input_Data!A1" xr:uid="{00000000-0004-0000-0000-000000000000}"/>
    <hyperlink ref="D7" location="Input_Data!A1" display="Input_Data!A1" xr:uid="{00000000-0004-0000-0000-000001000000}"/>
    <hyperlink ref="D8" location="Input_Data!A1" display="Input_Data!A1" xr:uid="{00000000-0004-0000-0000-000002000000}"/>
    <hyperlink ref="D9" location="Input_Data!A1" display="Input_Data!A1" xr:uid="{00000000-0004-0000-0000-000003000000}"/>
    <hyperlink ref="D10" location="Input_Data!A1" display="Input_Data!A1" xr:uid="{00000000-0004-0000-0000-000004000000}"/>
    <hyperlink ref="E6" location="BioClinicalBERT_Perf!A1" display="BioClinicalBERT_Perf!A1" xr:uid="{EE2B7C5D-C1CE-4EA5-8766-819AC7B8DD38}"/>
    <hyperlink ref="E7" location="PubMedBERT_Res!A1" display="PubMedBERT_Res!A1" xr:uid="{A8F46E45-EEA7-4399-B4DD-EA9AF4A0AAA2}"/>
    <hyperlink ref="E8" location="ClinicalBERT!A1" display="ClinicalBERT!A1" xr:uid="{91337C1F-214A-4662-AF79-BA819A2ABD28}"/>
    <hyperlink ref="E9" location="SapBERT!A1" display="SapBERT!A1" xr:uid="{79A7F3D3-0235-40F6-BF4C-59E3E821CD85}"/>
    <hyperlink ref="E10" location="'FLAN-T5'!A1" display="'FLAN-T5'!A1" xr:uid="{7DD5F001-1D65-4034-BDA8-21777085A496}"/>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5"/>
  <sheetViews>
    <sheetView zoomScale="70" zoomScaleNormal="70" workbookViewId="0">
      <selection activeCell="D3" sqref="D3"/>
    </sheetView>
  </sheetViews>
  <sheetFormatPr defaultRowHeight="14.4" x14ac:dyDescent="0.3"/>
  <cols>
    <col min="2" max="2" width="72.109375" customWidth="1"/>
  </cols>
  <sheetData>
    <row r="1" spans="2:2" x14ac:dyDescent="0.3">
      <c r="B1" t="s">
        <v>1</v>
      </c>
    </row>
    <row r="2" spans="2:2" ht="139.19999999999999" customHeight="1" x14ac:dyDescent="0.3">
      <c r="B2" s="6" t="s">
        <v>4</v>
      </c>
    </row>
    <row r="3" spans="2:2" ht="129" customHeight="1" x14ac:dyDescent="0.3">
      <c r="B3" s="5" t="s">
        <v>6</v>
      </c>
    </row>
    <row r="4" spans="2:2" ht="115.8" customHeight="1" x14ac:dyDescent="0.3">
      <c r="B4" s="5" t="s">
        <v>8</v>
      </c>
    </row>
    <row r="5" spans="2:2" ht="129" customHeight="1" x14ac:dyDescent="0.3">
      <c r="B5" s="5"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A43C5-AE85-4684-B927-DDEC3637A73F}">
  <dimension ref="B1:B5"/>
  <sheetViews>
    <sheetView workbookViewId="0">
      <selection activeCell="B1" sqref="B1:B1048576"/>
    </sheetView>
  </sheetViews>
  <sheetFormatPr defaultRowHeight="14.4" x14ac:dyDescent="0.3"/>
  <cols>
    <col min="2" max="2" width="61" style="5" customWidth="1"/>
  </cols>
  <sheetData>
    <row r="1" spans="2:2" x14ac:dyDescent="0.3">
      <c r="B1" s="8" t="s">
        <v>44</v>
      </c>
    </row>
    <row r="2" spans="2:2" ht="86.4" x14ac:dyDescent="0.3">
      <c r="B2" s="5" t="s">
        <v>45</v>
      </c>
    </row>
    <row r="3" spans="2:2" ht="86.4" x14ac:dyDescent="0.3">
      <c r="B3" s="5" t="s">
        <v>46</v>
      </c>
    </row>
    <row r="4" spans="2:2" ht="100.8" x14ac:dyDescent="0.3">
      <c r="B4" s="5" t="s">
        <v>47</v>
      </c>
    </row>
    <row r="5" spans="2:2" ht="86.4" x14ac:dyDescent="0.3">
      <c r="B5" s="5" t="s">
        <v>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
  <sheetViews>
    <sheetView zoomScale="68" zoomScaleNormal="55" workbookViewId="0">
      <selection activeCell="C22" sqref="C22"/>
    </sheetView>
  </sheetViews>
  <sheetFormatPr defaultRowHeight="14.4" x14ac:dyDescent="0.3"/>
  <cols>
    <col min="1" max="1" width="37.33203125" customWidth="1"/>
    <col min="2" max="2" width="37.33203125" style="5" customWidth="1"/>
    <col min="3" max="3" width="45.21875" style="5" customWidth="1"/>
    <col min="4" max="4" width="50.88671875" style="5" customWidth="1"/>
    <col min="5" max="5" width="37.33203125" customWidth="1"/>
  </cols>
  <sheetData>
    <row r="1" spans="1:5" x14ac:dyDescent="0.3">
      <c r="A1" s="10" t="s">
        <v>0</v>
      </c>
      <c r="B1" s="8" t="s">
        <v>1</v>
      </c>
      <c r="C1" s="8" t="s">
        <v>44</v>
      </c>
      <c r="D1" s="8" t="s">
        <v>2</v>
      </c>
      <c r="E1" s="10" t="s">
        <v>3</v>
      </c>
    </row>
    <row r="2" spans="1:5" ht="144" x14ac:dyDescent="0.3">
      <c r="A2">
        <v>1</v>
      </c>
      <c r="B2" s="5" t="s">
        <v>4</v>
      </c>
      <c r="C2" s="5" t="s">
        <v>45</v>
      </c>
      <c r="D2" s="5" t="s">
        <v>25</v>
      </c>
      <c r="E2">
        <v>89.74</v>
      </c>
    </row>
    <row r="3" spans="1:5" ht="129.6" x14ac:dyDescent="0.3">
      <c r="B3" s="5" t="s">
        <v>6</v>
      </c>
      <c r="C3" s="5" t="s">
        <v>46</v>
      </c>
      <c r="D3" s="5" t="s">
        <v>26</v>
      </c>
      <c r="E3">
        <v>91.9</v>
      </c>
    </row>
    <row r="4" spans="1:5" ht="158.4" x14ac:dyDescent="0.3">
      <c r="B4" s="5" t="s">
        <v>8</v>
      </c>
      <c r="C4" s="5" t="s">
        <v>47</v>
      </c>
      <c r="D4" s="5" t="s">
        <v>27</v>
      </c>
      <c r="E4">
        <v>90.4</v>
      </c>
    </row>
    <row r="5" spans="1:5" ht="144" x14ac:dyDescent="0.3">
      <c r="B5" s="5" t="s">
        <v>10</v>
      </c>
      <c r="C5" s="5" t="s">
        <v>48</v>
      </c>
      <c r="D5" s="5" t="s">
        <v>28</v>
      </c>
      <c r="E5">
        <v>95.16</v>
      </c>
    </row>
    <row r="6" spans="1:5" x14ac:dyDescent="0.3">
      <c r="A6" t="s">
        <v>37</v>
      </c>
      <c r="E6">
        <f>AVERAGE(E1:E5)</f>
        <v>91.799999999999983</v>
      </c>
    </row>
    <row r="8" spans="1:5" ht="144" x14ac:dyDescent="0.3">
      <c r="A8" s="5">
        <v>1</v>
      </c>
      <c r="B8" s="5" t="s">
        <v>4</v>
      </c>
      <c r="C8" s="5" t="s">
        <v>45</v>
      </c>
      <c r="D8" s="5" t="s">
        <v>49</v>
      </c>
      <c r="E8" s="5">
        <v>91.64</v>
      </c>
    </row>
    <row r="9" spans="1:5" ht="129.6" x14ac:dyDescent="0.3">
      <c r="A9" s="5">
        <v>2</v>
      </c>
      <c r="B9" s="5" t="s">
        <v>6</v>
      </c>
      <c r="C9" s="5" t="s">
        <v>46</v>
      </c>
      <c r="D9" s="5" t="s">
        <v>50</v>
      </c>
      <c r="E9" s="5">
        <v>92.83</v>
      </c>
    </row>
    <row r="10" spans="1:5" ht="158.4" x14ac:dyDescent="0.3">
      <c r="A10" s="5">
        <v>3</v>
      </c>
      <c r="B10" s="5" t="s">
        <v>8</v>
      </c>
      <c r="C10" s="5" t="s">
        <v>47</v>
      </c>
      <c r="D10" s="5" t="s">
        <v>51</v>
      </c>
      <c r="E10" s="5">
        <v>92.13</v>
      </c>
    </row>
    <row r="11" spans="1:5" ht="144" x14ac:dyDescent="0.3">
      <c r="A11" s="5">
        <v>4</v>
      </c>
      <c r="B11" s="5" t="s">
        <v>10</v>
      </c>
      <c r="C11" s="5" t="s">
        <v>48</v>
      </c>
      <c r="D11" s="5" t="s">
        <v>52</v>
      </c>
      <c r="E11" s="5">
        <v>76</v>
      </c>
    </row>
    <row r="12" spans="1:5" x14ac:dyDescent="0.3">
      <c r="A12" s="1" t="s">
        <v>37</v>
      </c>
      <c r="E12">
        <f>AVERAGE(E8:E11)</f>
        <v>88.15</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
  <sheetViews>
    <sheetView zoomScale="70" zoomScaleNormal="70" workbookViewId="0">
      <selection activeCell="C7" sqref="C7"/>
    </sheetView>
  </sheetViews>
  <sheetFormatPr defaultRowHeight="14.4" x14ac:dyDescent="0.3"/>
  <cols>
    <col min="2" max="2" width="26.6640625" customWidth="1"/>
    <col min="3" max="3" width="28.88671875" customWidth="1"/>
    <col min="4" max="4" width="29" customWidth="1"/>
    <col min="5" max="5" width="21.88671875" customWidth="1"/>
  </cols>
  <sheetData>
    <row r="1" spans="1:5" ht="43.2" x14ac:dyDescent="0.3">
      <c r="A1" s="8" t="s">
        <v>0</v>
      </c>
      <c r="B1" s="8" t="s">
        <v>1</v>
      </c>
      <c r="C1" s="8" t="s">
        <v>44</v>
      </c>
      <c r="D1" s="8" t="s">
        <v>2</v>
      </c>
      <c r="E1" s="8" t="s">
        <v>3</v>
      </c>
    </row>
    <row r="2" spans="1:5" ht="100.8" customHeight="1" x14ac:dyDescent="0.3">
      <c r="A2" s="5">
        <v>1</v>
      </c>
      <c r="B2" s="5" t="s">
        <v>4</v>
      </c>
      <c r="C2" s="5" t="s">
        <v>45</v>
      </c>
      <c r="D2" s="5" t="s">
        <v>5</v>
      </c>
      <c r="E2" s="5">
        <v>83.47</v>
      </c>
    </row>
    <row r="3" spans="1:5" ht="115.2" customHeight="1" x14ac:dyDescent="0.3">
      <c r="A3" s="5"/>
      <c r="B3" s="5" t="s">
        <v>6</v>
      </c>
      <c r="C3" s="5" t="s">
        <v>46</v>
      </c>
      <c r="D3" s="5" t="s">
        <v>7</v>
      </c>
      <c r="E3" s="5">
        <v>82.2</v>
      </c>
    </row>
    <row r="4" spans="1:5" ht="129.6" customHeight="1" x14ac:dyDescent="0.3">
      <c r="A4" s="5"/>
      <c r="B4" s="5" t="s">
        <v>8</v>
      </c>
      <c r="C4" s="5" t="s">
        <v>47</v>
      </c>
      <c r="D4" s="5" t="s">
        <v>9</v>
      </c>
      <c r="E4" s="5">
        <v>68.37</v>
      </c>
    </row>
    <row r="5" spans="1:5" ht="115.2" customHeight="1" x14ac:dyDescent="0.3">
      <c r="A5" s="5"/>
      <c r="B5" s="5" t="s">
        <v>10</v>
      </c>
      <c r="C5" s="5" t="s">
        <v>48</v>
      </c>
      <c r="D5" s="5" t="s">
        <v>11</v>
      </c>
      <c r="E5" s="5">
        <v>86.27</v>
      </c>
    </row>
    <row r="6" spans="1:5" x14ac:dyDescent="0.3">
      <c r="A6" s="5" t="s">
        <v>37</v>
      </c>
      <c r="B6" s="5"/>
      <c r="C6" s="5"/>
      <c r="D6" s="5"/>
      <c r="E6" s="5">
        <f>AVERAGE(E1:E5)</f>
        <v>80.077500000000001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zoomScale="96" workbookViewId="0">
      <selection activeCell="H20" sqref="H20"/>
    </sheetView>
  </sheetViews>
  <sheetFormatPr defaultRowHeight="14.4" x14ac:dyDescent="0.3"/>
  <cols>
    <col min="3" max="3" width="11.33203125" customWidth="1"/>
    <col min="5" max="5" width="21.109375" customWidth="1"/>
  </cols>
  <sheetData>
    <row r="1" spans="1:5" x14ac:dyDescent="0.3">
      <c r="A1" s="10" t="s">
        <v>0</v>
      </c>
      <c r="B1" s="10" t="s">
        <v>1</v>
      </c>
      <c r="C1" s="10" t="s">
        <v>44</v>
      </c>
      <c r="D1" s="10" t="s">
        <v>2</v>
      </c>
      <c r="E1" s="10" t="s">
        <v>3</v>
      </c>
    </row>
    <row r="2" spans="1:5" x14ac:dyDescent="0.3">
      <c r="A2">
        <v>1</v>
      </c>
      <c r="B2" t="s">
        <v>4</v>
      </c>
      <c r="C2" t="s">
        <v>45</v>
      </c>
      <c r="D2" t="s">
        <v>25</v>
      </c>
      <c r="E2">
        <v>89.74</v>
      </c>
    </row>
    <row r="3" spans="1:5" x14ac:dyDescent="0.3">
      <c r="B3" t="s">
        <v>6</v>
      </c>
      <c r="C3" t="s">
        <v>46</v>
      </c>
      <c r="D3" t="s">
        <v>26</v>
      </c>
      <c r="E3">
        <v>91.9</v>
      </c>
    </row>
    <row r="4" spans="1:5" x14ac:dyDescent="0.3">
      <c r="B4" t="s">
        <v>8</v>
      </c>
      <c r="C4" t="s">
        <v>47</v>
      </c>
      <c r="D4" t="s">
        <v>29</v>
      </c>
      <c r="E4">
        <v>83.29</v>
      </c>
    </row>
    <row r="5" spans="1:5" x14ac:dyDescent="0.3">
      <c r="B5" t="s">
        <v>10</v>
      </c>
      <c r="C5" t="s">
        <v>48</v>
      </c>
      <c r="D5" t="s">
        <v>28</v>
      </c>
      <c r="E5">
        <v>95.16</v>
      </c>
    </row>
    <row r="6" spans="1:5" x14ac:dyDescent="0.3">
      <c r="A6" t="s">
        <v>38</v>
      </c>
      <c r="E6">
        <f>AVERAGE(E1:E5)</f>
        <v>90.022500000000008</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
  <sheetViews>
    <sheetView tabSelected="1" zoomScale="55" zoomScaleNormal="55" workbookViewId="0">
      <selection activeCell="J5" sqref="J5"/>
    </sheetView>
  </sheetViews>
  <sheetFormatPr defaultRowHeight="14.4" x14ac:dyDescent="0.3"/>
  <cols>
    <col min="2" max="2" width="58.21875" style="14" customWidth="1"/>
    <col min="3" max="3" width="74.88671875" customWidth="1"/>
    <col min="4" max="4" width="91.88671875" customWidth="1"/>
    <col min="5" max="5" width="21.109375" customWidth="1"/>
  </cols>
  <sheetData>
    <row r="1" spans="1:5" x14ac:dyDescent="0.3">
      <c r="A1" s="10" t="s">
        <v>0</v>
      </c>
      <c r="B1" s="10" t="s">
        <v>1</v>
      </c>
      <c r="C1" s="10" t="s">
        <v>44</v>
      </c>
      <c r="D1" s="10" t="s">
        <v>2</v>
      </c>
      <c r="E1" s="10" t="s">
        <v>3</v>
      </c>
    </row>
    <row r="2" spans="1:5" ht="86.4" x14ac:dyDescent="0.3">
      <c r="A2">
        <v>1</v>
      </c>
      <c r="B2" s="13" t="s">
        <v>4</v>
      </c>
      <c r="C2" s="13" t="s">
        <v>45</v>
      </c>
      <c r="D2" s="13" t="s">
        <v>30</v>
      </c>
      <c r="E2">
        <v>91.41</v>
      </c>
    </row>
    <row r="3" spans="1:5" ht="86.4" x14ac:dyDescent="0.3">
      <c r="B3" s="13" t="s">
        <v>6</v>
      </c>
      <c r="C3" s="13" t="s">
        <v>46</v>
      </c>
      <c r="D3" s="13" t="s">
        <v>31</v>
      </c>
      <c r="E3">
        <v>94.3</v>
      </c>
    </row>
    <row r="4" spans="1:5" ht="100.8" x14ac:dyDescent="0.3">
      <c r="B4" s="13" t="s">
        <v>8</v>
      </c>
      <c r="C4" s="13" t="s">
        <v>47</v>
      </c>
      <c r="D4" s="13" t="s">
        <v>32</v>
      </c>
      <c r="E4">
        <v>91.96</v>
      </c>
    </row>
    <row r="5" spans="1:5" ht="86.4" x14ac:dyDescent="0.3">
      <c r="B5" s="13" t="s">
        <v>10</v>
      </c>
      <c r="C5" s="13" t="s">
        <v>48</v>
      </c>
      <c r="D5" s="13" t="s">
        <v>33</v>
      </c>
      <c r="E5">
        <v>94.77</v>
      </c>
    </row>
    <row r="6" spans="1:5" x14ac:dyDescent="0.3">
      <c r="A6" t="s">
        <v>38</v>
      </c>
      <c r="E6">
        <f>AVERAGE(E1:E5)</f>
        <v>93.109999999999985</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
  <sheetViews>
    <sheetView topLeftCell="A4" workbookViewId="0">
      <selection activeCell="B3" sqref="B3"/>
    </sheetView>
  </sheetViews>
  <sheetFormatPr defaultRowHeight="14.4" x14ac:dyDescent="0.3"/>
  <cols>
    <col min="1" max="5" width="38.33203125" style="12" customWidth="1"/>
  </cols>
  <sheetData>
    <row r="1" spans="1:5" x14ac:dyDescent="0.3">
      <c r="A1" s="10" t="s">
        <v>0</v>
      </c>
      <c r="B1" s="10" t="s">
        <v>1</v>
      </c>
      <c r="C1" s="10" t="s">
        <v>44</v>
      </c>
      <c r="D1" s="10" t="s">
        <v>2</v>
      </c>
      <c r="E1" s="10" t="s">
        <v>3</v>
      </c>
    </row>
    <row r="2" spans="1:5" ht="144" x14ac:dyDescent="0.3">
      <c r="A2" s="12">
        <v>1</v>
      </c>
      <c r="B2" s="13" t="s">
        <v>4</v>
      </c>
      <c r="C2" s="13" t="s">
        <v>45</v>
      </c>
      <c r="D2" s="13" t="s">
        <v>34</v>
      </c>
      <c r="E2" s="13">
        <v>91.02</v>
      </c>
    </row>
    <row r="3" spans="1:5" ht="129.6" x14ac:dyDescent="0.3">
      <c r="B3" s="13" t="s">
        <v>6</v>
      </c>
      <c r="C3" s="13" t="s">
        <v>46</v>
      </c>
      <c r="D3" s="13" t="s">
        <v>35</v>
      </c>
      <c r="E3" s="13">
        <v>92.92</v>
      </c>
    </row>
    <row r="4" spans="1:5" ht="158.4" x14ac:dyDescent="0.3">
      <c r="B4" s="13" t="s">
        <v>8</v>
      </c>
      <c r="C4" s="13" t="s">
        <v>47</v>
      </c>
      <c r="D4" s="13" t="s">
        <v>32</v>
      </c>
      <c r="E4" s="13">
        <v>91.96</v>
      </c>
    </row>
    <row r="5" spans="1:5" ht="144" x14ac:dyDescent="0.3">
      <c r="B5" s="13" t="s">
        <v>10</v>
      </c>
      <c r="C5" s="13" t="s">
        <v>48</v>
      </c>
      <c r="D5" s="13" t="s">
        <v>36</v>
      </c>
      <c r="E5" s="13">
        <v>93.34</v>
      </c>
    </row>
    <row r="6" spans="1:5" x14ac:dyDescent="0.3">
      <c r="A6" s="12" t="s">
        <v>38</v>
      </c>
      <c r="E6" s="12">
        <f>AVERAGE(E1:E5)</f>
        <v>92.31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Model_Detail</vt:lpstr>
      <vt:lpstr>Input_Data</vt:lpstr>
      <vt:lpstr>Real_data</vt:lpstr>
      <vt:lpstr>BioClinicalBERT_Perf</vt:lpstr>
      <vt:lpstr>PubMedBERT_Res</vt:lpstr>
      <vt:lpstr>ClinicalBERT</vt:lpstr>
      <vt:lpstr>SapBERT</vt:lpstr>
      <vt:lpstr>FLAN-T5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Satvik Roy</dc:creator>
  <cp:lastModifiedBy>Hitesh Satvik Roy</cp:lastModifiedBy>
  <dcterms:created xsi:type="dcterms:W3CDTF">2026-06-09T10:35:06Z</dcterms:created>
  <dcterms:modified xsi:type="dcterms:W3CDTF">2026-06-25T11:55:13Z</dcterms:modified>
</cp:coreProperties>
</file>